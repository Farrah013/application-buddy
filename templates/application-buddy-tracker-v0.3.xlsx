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b4e553310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5f485412c704c36"/>
    <x:sheet xmlns:r="http://schemas.openxmlformats.org/officeDocument/2006/relationships" name="Job Discovery" sheetId="2" r:id="R41cbb15ed7574cb4"/>
    <x:sheet xmlns:r="http://schemas.openxmlformats.org/officeDocument/2006/relationships" name="Qualified Roles" sheetId="3" r:id="R4994805b240949da"/>
    <x:sheet xmlns:r="http://schemas.openxmlformats.org/officeDocument/2006/relationships" name="Contacts" sheetId="4" r:id="R8f7cb9d7ea9b431b"/>
    <x:sheet xmlns:r="http://schemas.openxmlformats.org/officeDocument/2006/relationships" name="Approvals" sheetId="5" r:id="R2472a9fc27314200"/>
    <x:sheet xmlns:r="http://schemas.openxmlformats.org/officeDocument/2006/relationships" name="Configuration" sheetId="6" r:id="R60c245495675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"/>
    <x:numFmt numFmtId="202" formatCode="0.0%"/>
    <x:numFmt numFmtId="203" formatCode="yyyy-mm-dd"/>
    <x:numFmt numFmtId="204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7">
    <x:border/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20cf7abef4d0d" /><Relationship Type="http://schemas.openxmlformats.org/officeDocument/2006/relationships/theme" Target="/xl/theme/theme1.xml" Id="Ra545a3daeedf4f27" /><Relationship Type="http://schemas.microsoft.com/office/2022/11/relationships/FeaturePropertyBag" Target="/xl/featurePropertyBag/featurePropertyBag.xml" Id="R69d3ee455beb4dc7" /><Relationship Type="http://schemas.openxmlformats.org/officeDocument/2006/relationships/sharedStrings" Target="/xl/sharedStrings.xml" Id="R2ee34277e6a64b2d" /><Relationship Type="http://schemas.openxmlformats.org/officeDocument/2006/relationships/worksheet" Target="/xl/worksheets/sheet1.xml" Id="R15f485412c704c36" /><Relationship Type="http://schemas.openxmlformats.org/officeDocument/2006/relationships/worksheet" Target="/xl/worksheets/sheet2.xml" Id="R41cbb15ed7574cb4" /><Relationship Type="http://schemas.openxmlformats.org/officeDocument/2006/relationships/worksheet" Target="/xl/worksheets/sheet3.xml" Id="R4994805b240949da" /><Relationship Type="http://schemas.openxmlformats.org/officeDocument/2006/relationships/worksheet" Target="/xl/worksheets/sheet4.xml" Id="R8f7cb9d7ea9b431b" /><Relationship Type="http://schemas.openxmlformats.org/officeDocument/2006/relationships/worksheet" Target="/xl/worksheets/sheet5.xml" Id="R2472a9fc27314200" /><Relationship Type="http://schemas.openxmlformats.org/officeDocument/2006/relationships/worksheet" Target="/xl/worksheets/sheet6.xml" Id="R60c24549567545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obDiscoveryTable" displayName="JobDiscoveryTable" ref="A3:N53" headerRowCount="1" totalsRowCount="0" totalsRowShown="0">
  <x:autoFilter ref="A3:N53"/>
  <x:tableColumns count="14">
    <x:tableColumn id="1" name="Job ID"/>
    <x:tableColumn id="2" name="Company"/>
    <x:tableColumn id="3" name="Title"/>
    <x:tableColumn id="4" name="Job URL"/>
    <x:tableColumn id="5" name="Source"/>
    <x:tableColumn id="6" name="Displayed posting text"/>
    <x:tableColumn id="7" name="Published at"/>
    <x:tableColumn id="8" name="Retrieved at"/>
    <x:tableColumn id="9" name="Recency status"/>
    <x:tableColumn id="10" name="Age hours"/>
    <x:tableColumn id="11" name="Within 72 hours"/>
    <x:tableColumn id="12" name="Location"/>
    <x:tableColumn id="13" name="Compensation"/>
    <x:tableColumn id="14" name="Review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fiedRolesTable" displayName="QualifiedRolesTable" ref="A3:O53" headerRowCount="1" totalsRowCount="0" totalsRowShown="0">
  <x:autoFilter ref="A3:O53"/>
  <x:tableColumns count="15">
    <x:tableColumn id="1" name="Job ID"/>
    <x:tableColumn id="2" name="Company"/>
    <x:tableColumn id="3" name="Title"/>
    <x:tableColumn id="4" name="Match %"/>
    <x:tableColumn id="5" name="Core responsibilities"/>
    <x:tableColumn id="6" name="Required qualifications"/>
    <x:tableColumn id="7" name="Preferred qualifications"/>
    <x:tableColumn id="8" name="Domain alignment"/>
    <x:tableColumn id="9" name="Unmet non-negotiables"/>
    <x:tableColumn id="10" name="Qualification state"/>
    <x:tableColumn id="11" name="Résumé version"/>
    <x:tableColumn id="12" name="Résumé approval"/>
    <x:tableColumn id="13" name="Application status"/>
    <x:tableColumn id="14" name="Submission evidence"/>
    <x:tableColumn id="15" name="Follow-up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actsTable" displayName="ContactsTable" ref="A3:Q53" headerRowCount="1" totalsRowCount="0" totalsRowShown="0">
  <x:autoFilter ref="A3:Q53"/>
  <x:tableColumns count="17">
    <x:tableColumn id="1" name="Contact ID"/>
    <x:tableColumn id="2" name="Job ID"/>
    <x:tableColumn id="3" name="Person"/>
    <x:tableColumn id="4" name="Title"/>
    <x:tableColumn id="5" name="Company"/>
    <x:tableColumn id="6" name="Relationship to role"/>
    <x:tableColumn id="7" name="LinkedIn URL"/>
    <x:tableColumn id="8" name="Email"/>
    <x:tableColumn id="9" name="Email status"/>
    <x:tableColumn id="10" name="Confidence"/>
    <x:tableColumn id="11" name="Supporting sources"/>
    <x:tableColumn id="12" name="Retrieved at"/>
    <x:tableColumn id="13" name="Verification result"/>
    <x:tableColumn id="14" name="Outreach approval"/>
    <x:tableColumn id="15" name="Last contact"/>
    <x:tableColumn id="16" name="Follow-up"/>
    <x:tableColumn id="17" name="Opt-ou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rovalsTable" displayName="ApprovalsTable" ref="A3:I53" headerRowCount="1" totalsRowCount="0" totalsRowShown="0">
  <x:autoFilter ref="A3:I53"/>
  <x:tableColumns count="9">
    <x:tableColumn id="1" name="Approval ID"/>
    <x:tableColumn id="2" name="Approval type"/>
    <x:tableColumn id="3" name="Related record ID"/>
    <x:tableColumn id="4" name="Reason"/>
    <x:tableColumn id="5" name="Created at"/>
    <x:tableColumn id="6" name="Status"/>
    <x:tableColumn id="7" name="Decision"/>
    <x:tableColumn id="8" name="Decided at"/>
    <x:tableColumn id="9" name="Decis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cfe4979fa242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12989d215b44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ac54437cc542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d6c21af77840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" t="str">
        <x:v>Application Buddy v0.3 Tracker</x:v>
      </x:c>
      <x:c r="B1" s="2"/>
      <x:c r="C1" s="2"/>
      <x:c r="D1" s="2"/>
      <x:c r="E1" s="2"/>
      <x:c r="F1" s="2"/>
    </x:row>
    <x:row r="3">
      <x:c r="A3" s="7" t="str">
        <x:v>Metric</x:v>
      </x:c>
      <x:c r="B3" s="8" t="str">
        <x:v>Current count</x:v>
      </x:c>
    </x:row>
    <x:row r="4">
      <x:c r="A4" s="9" t="str">
        <x:v>Jobs captured</x:v>
      </x:c>
      <x:c r="B4" s="10" t="n">
        <x:f>COUNTA('Job Discovery'!$A$4:$A$53)</x:f>
        <x:v>0</x:v>
      </x:c>
    </x:row>
    <x:row r="5">
      <x:c r="A5" s="9" t="str">
        <x:v>Qualified roles</x:v>
      </x:c>
      <x:c r="B5" s="10" t="n">
        <x:f>COUNTIF('Qualified Roles'!$J$4:$J$53,"QUALIFIED")</x:f>
        <x:v>0</x:v>
      </x:c>
    </x:row>
    <x:row r="6">
      <x:c r="A6" s="9" t="str">
        <x:v>Pending approvals</x:v>
      </x:c>
      <x:c r="B6" s="10" t="n">
        <x:f>COUNTIF('Approvals'!$F$4:$F$53,"PENDING")</x:f>
        <x:v>0</x:v>
      </x:c>
    </x:row>
    <x:row r="7">
      <x:c r="A7" s="9" t="str">
        <x:v>Verified contacts</x:v>
      </x:c>
      <x:c r="B7" s="10" t="n">
        <x:f>COUNTIF('Contacts'!$I$4:$I$53,"VERIFIED_PUBLISHED")+COUNTIF('Contacts'!$I$4:$I$53,"VERIFIED_BY_SERVICE")</x:f>
        <x:v>0</x:v>
      </x:c>
    </x:row>
    <x:row r="8">
      <x:c r="A8" s="11" t="str">
        <x:v>Inferred contacts awaiting verification</x:v>
      </x:c>
      <x:c r="B8" s="12" t="n">
        <x:f>COUNTIF('Contacts'!$I$4:$I$53,"INFERRED_PATTERN")</x:f>
        <x:v>0</x:v>
      </x:c>
    </x:row>
    <x:row r="10">
      <x:c r="A10" s="4" t="str">
        <x:v>Accuracy rules</x:v>
      </x:c>
      <x:c r="B10" s="4"/>
      <x:c r="C10" s="4"/>
      <x:c r="D10" s="4"/>
      <x:c r="E10" s="4"/>
      <x:c r="F10" s="4"/>
    </x:row>
    <x:row r="11">
      <x:c r="A11" s="13" t="str">
        <x:v>Unknown values stay unknown. Never infer a posting time, contact relationship, qualification, or submission result.</x:v>
      </x:c>
      <x:c r="B11" s="13"/>
      <x:c r="C11" s="13"/>
      <x:c r="D11" s="13"/>
      <x:c r="E11" s="13"/>
      <x:c r="F11" s="13"/>
    </x:row>
    <x:row r="12">
      <x:c r="A12" s="13" t="str">
        <x:v>INFERRED_PATTERN emails require verification before outreach.</x:v>
      </x:c>
      <x:c r="B12" s="13"/>
      <x:c r="C12" s="13"/>
      <x:c r="D12" s="13"/>
      <x:c r="E12" s="13"/>
      <x:c r="F12" s="13"/>
    </x:row>
    <x:row r="13">
      <x:c r="A13" s="13" t="str">
        <x:v>Every extracted requirement starts in REVIEW_REQUIRED.</x:v>
      </x:c>
      <x:c r="B13" s="13"/>
      <x:c r="C13" s="13"/>
      <x:c r="D13" s="13"/>
      <x:c r="E13" s="13"/>
      <x:c r="F13" s="13"/>
    </x:row>
    <x:row r="14">
      <x:c r="A14" s="13" t="str">
        <x:v>SUBMITTED requires confirmation from the application system.</x:v>
      </x:c>
      <x:c r="B14" s="13"/>
      <x:c r="C14" s="13"/>
      <x:c r="D14" s="13"/>
      <x:c r="E14" s="13"/>
      <x:c r="F14" s="13"/>
    </x:row>
  </x:sheetData>
  <x:mergeCells>
    <x:mergeCell ref="A1:F1"/>
    <x:mergeCell ref="A10:F10"/>
    <x:mergeCell ref="A11:F11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38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18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15" t="str">
        <x:v>Job Discovery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3" ht="32" customHeight="1">
      <x:c r="A3" s="17" t="str">
        <x:v>Job ID</x:v>
      </x:c>
      <x:c r="B3" s="17" t="str">
        <x:v>Company</x:v>
      </x:c>
      <x:c r="C3" s="17" t="str">
        <x:v>Title</x:v>
      </x:c>
      <x:c r="D3" s="17" t="str">
        <x:v>Job URL</x:v>
      </x:c>
      <x:c r="E3" s="17" t="str">
        <x:v>Source</x:v>
      </x:c>
      <x:c r="F3" s="17" t="str">
        <x:v>Displayed posting text</x:v>
      </x:c>
      <x:c r="G3" s="17" t="str">
        <x:v>Published at</x:v>
      </x:c>
      <x:c r="H3" s="17" t="str">
        <x:v>Retrieved at</x:v>
      </x:c>
      <x:c r="I3" s="17" t="str">
        <x:v>Recency status</x:v>
      </x:c>
      <x:c r="J3" s="17" t="str">
        <x:v>Age hours</x:v>
      </x:c>
      <x:c r="K3" s="17" t="str">
        <x:v>Within 72 hours</x:v>
      </x:c>
      <x:c r="L3" s="17" t="str">
        <x:v>Location</x:v>
      </x:c>
      <x:c r="M3" s="17" t="str">
        <x:v>Compensation</x:v>
      </x:c>
      <x:c r="N3" s="17" t="str">
        <x:v>Review status</x:v>
      </x:c>
    </x:row>
    <x:row r="4">
      <x:c r="G4" s="18"/>
      <x:c r="H4" s="18"/>
      <x:c r="J4" s="19"/>
    </x:row>
    <x:row r="5">
      <x:c r="G5" s="18"/>
      <x:c r="H5" s="18"/>
      <x:c r="J5" s="19"/>
    </x:row>
    <x:row r="6">
      <x:c r="G6" s="18"/>
      <x:c r="H6" s="18"/>
      <x:c r="J6" s="19"/>
    </x:row>
    <x:row r="7">
      <x:c r="G7" s="18"/>
      <x:c r="H7" s="18"/>
      <x:c r="J7" s="19"/>
    </x:row>
    <x:row r="8">
      <x:c r="G8" s="18"/>
      <x:c r="H8" s="18"/>
      <x:c r="J8" s="19"/>
    </x:row>
    <x:row r="9">
      <x:c r="G9" s="18"/>
      <x:c r="H9" s="18"/>
      <x:c r="J9" s="19"/>
    </x:row>
    <x:row r="10">
      <x:c r="G10" s="18"/>
      <x:c r="H10" s="18"/>
      <x:c r="J10" s="19"/>
    </x:row>
    <x:row r="11">
      <x:c r="G11" s="18"/>
      <x:c r="H11" s="18"/>
      <x:c r="J11" s="19"/>
    </x:row>
    <x:row r="12">
      <x:c r="G12" s="18"/>
      <x:c r="H12" s="18"/>
      <x:c r="J12" s="19"/>
    </x:row>
    <x:row r="13">
      <x:c r="G13" s="18"/>
      <x:c r="H13" s="18"/>
      <x:c r="J13" s="19"/>
    </x:row>
    <x:row r="14">
      <x:c r="G14" s="18"/>
      <x:c r="H14" s="18"/>
      <x:c r="J14" s="19"/>
    </x:row>
    <x:row r="15">
      <x:c r="G15" s="18"/>
      <x:c r="H15" s="18"/>
      <x:c r="J15" s="19"/>
    </x:row>
    <x:row r="16">
      <x:c r="G16" s="18"/>
      <x:c r="H16" s="18"/>
      <x:c r="J16" s="19"/>
    </x:row>
    <x:row r="17">
      <x:c r="G17" s="18"/>
      <x:c r="H17" s="18"/>
      <x:c r="J17" s="19"/>
    </x:row>
    <x:row r="18">
      <x:c r="G18" s="18"/>
      <x:c r="H18" s="18"/>
      <x:c r="J18" s="19"/>
    </x:row>
    <x:row r="19">
      <x:c r="G19" s="18"/>
      <x:c r="H19" s="18"/>
      <x:c r="J19" s="19"/>
    </x:row>
    <x:row r="20">
      <x:c r="G20" s="18"/>
      <x:c r="H20" s="18"/>
      <x:c r="J20" s="19"/>
    </x:row>
    <x:row r="21">
      <x:c r="G21" s="18"/>
      <x:c r="H21" s="18"/>
      <x:c r="J21" s="19"/>
    </x:row>
    <x:row r="22">
      <x:c r="G22" s="18"/>
      <x:c r="H22" s="18"/>
      <x:c r="J22" s="19"/>
    </x:row>
    <x:row r="23">
      <x:c r="G23" s="18"/>
      <x:c r="H23" s="18"/>
      <x:c r="J23" s="19"/>
    </x:row>
    <x:row r="24">
      <x:c r="G24" s="18"/>
      <x:c r="H24" s="18"/>
      <x:c r="J24" s="19"/>
    </x:row>
    <x:row r="25">
      <x:c r="G25" s="18"/>
      <x:c r="H25" s="18"/>
      <x:c r="J25" s="19"/>
    </x:row>
    <x:row r="26">
      <x:c r="G26" s="18"/>
      <x:c r="H26" s="18"/>
      <x:c r="J26" s="19"/>
    </x:row>
    <x:row r="27">
      <x:c r="G27" s="18"/>
      <x:c r="H27" s="18"/>
      <x:c r="J27" s="19"/>
    </x:row>
    <x:row r="28">
      <x:c r="G28" s="18"/>
      <x:c r="H28" s="18"/>
      <x:c r="J28" s="19"/>
    </x:row>
    <x:row r="29">
      <x:c r="G29" s="18"/>
      <x:c r="H29" s="18"/>
      <x:c r="J29" s="19"/>
    </x:row>
    <x:row r="30">
      <x:c r="G30" s="18"/>
      <x:c r="H30" s="18"/>
      <x:c r="J30" s="19"/>
    </x:row>
    <x:row r="31">
      <x:c r="G31" s="18"/>
      <x:c r="H31" s="18"/>
      <x:c r="J31" s="19"/>
    </x:row>
    <x:row r="32">
      <x:c r="G32" s="18"/>
      <x:c r="H32" s="18"/>
      <x:c r="J32" s="19"/>
    </x:row>
    <x:row r="33">
      <x:c r="G33" s="18"/>
      <x:c r="H33" s="18"/>
      <x:c r="J33" s="19"/>
    </x:row>
    <x:row r="34">
      <x:c r="G34" s="18"/>
      <x:c r="H34" s="18"/>
      <x:c r="J34" s="19"/>
    </x:row>
    <x:row r="35">
      <x:c r="G35" s="18"/>
      <x:c r="H35" s="18"/>
      <x:c r="J35" s="19"/>
    </x:row>
    <x:row r="36">
      <x:c r="G36" s="18"/>
      <x:c r="H36" s="18"/>
      <x:c r="J36" s="19"/>
    </x:row>
    <x:row r="37">
      <x:c r="G37" s="18"/>
      <x:c r="H37" s="18"/>
      <x:c r="J37" s="19"/>
    </x:row>
    <x:row r="38">
      <x:c r="G38" s="18"/>
      <x:c r="H38" s="18"/>
      <x:c r="J38" s="19"/>
    </x:row>
    <x:row r="39">
      <x:c r="G39" s="18"/>
      <x:c r="H39" s="18"/>
      <x:c r="J39" s="19"/>
    </x:row>
    <x:row r="40">
      <x:c r="G40" s="18"/>
      <x:c r="H40" s="18"/>
      <x:c r="J40" s="19"/>
    </x:row>
    <x:row r="41">
      <x:c r="G41" s="18"/>
      <x:c r="H41" s="18"/>
      <x:c r="J41" s="19"/>
    </x:row>
    <x:row r="42">
      <x:c r="G42" s="18"/>
      <x:c r="H42" s="18"/>
      <x:c r="J42" s="19"/>
    </x:row>
    <x:row r="43">
      <x:c r="G43" s="18"/>
      <x:c r="H43" s="18"/>
      <x:c r="J43" s="19"/>
    </x:row>
    <x:row r="44">
      <x:c r="G44" s="18"/>
      <x:c r="H44" s="18"/>
      <x:c r="J44" s="19"/>
    </x:row>
    <x:row r="45">
      <x:c r="G45" s="18"/>
      <x:c r="H45" s="18"/>
      <x:c r="J45" s="19"/>
    </x:row>
    <x:row r="46">
      <x:c r="G46" s="18"/>
      <x:c r="H46" s="18"/>
      <x:c r="J46" s="19"/>
    </x:row>
    <x:row r="47">
      <x:c r="G47" s="18"/>
      <x:c r="H47" s="18"/>
      <x:c r="J47" s="19"/>
    </x:row>
    <x:row r="48">
      <x:c r="G48" s="18"/>
      <x:c r="H48" s="18"/>
      <x:c r="J48" s="19"/>
    </x:row>
    <x:row r="49">
      <x:c r="G49" s="18"/>
      <x:c r="H49" s="18"/>
      <x:c r="J49" s="19"/>
    </x:row>
    <x:row r="50">
      <x:c r="G50" s="18"/>
      <x:c r="H50" s="18"/>
      <x:c r="J50" s="19"/>
    </x:row>
    <x:row r="51">
      <x:c r="G51" s="18"/>
      <x:c r="H51" s="18"/>
      <x:c r="J51" s="19"/>
    </x:row>
    <x:row r="52">
      <x:c r="G52" s="18"/>
      <x:c r="H52" s="18"/>
      <x:c r="J52" s="19"/>
    </x:row>
    <x:row r="53">
      <x:c r="G53" s="18"/>
      <x:c r="H53" s="18"/>
      <x:c r="J53" s="19"/>
    </x:row>
  </x:sheetData>
  <x:mergeCells>
    <x:mergeCell ref="A1:N1"/>
  </x:mergeCells>
  <x:dataValidations count="3">
    <x:dataValidation type="list" sqref="I4:I53">
      <x:formula1>"VERIFIED_TIMESTAMP,UNVERIFIED"</x:formula1>
    </x:dataValidation>
    <x:dataValidation type="list" sqref="K4:K53">
      <x:formula1>"TRUE,FALSE,UNKNOWN"</x:formula1>
    </x:dataValidation>
    <x:dataValidation type="list" sqref="N4:N53">
      <x:formula1>"NEW,REVIEW_REQUIRED,READY_TO_SCORE,EXCLUDED"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cfe4979fa242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6" hidden="0" customWidth="1"/>
  </x:cols>
  <x:sheetData>
    <x:row r="1" ht="30" customHeight="1">
      <x:c r="A1" s="15" t="str">
        <x:v>Qualified Roles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3" ht="32" customHeight="1">
      <x:c r="A3" s="17" t="str">
        <x:v>Job ID</x:v>
      </x:c>
      <x:c r="B3" s="17" t="str">
        <x:v>Company</x:v>
      </x:c>
      <x:c r="C3" s="17" t="str">
        <x:v>Title</x:v>
      </x:c>
      <x:c r="D3" s="17" t="str">
        <x:v>Match %</x:v>
      </x:c>
      <x:c r="E3" s="17" t="str">
        <x:v>Core responsibilities</x:v>
      </x:c>
      <x:c r="F3" s="17" t="str">
        <x:v>Required qualifications</x:v>
      </x:c>
      <x:c r="G3" s="17" t="str">
        <x:v>Preferred qualifications</x:v>
      </x:c>
      <x:c r="H3" s="17" t="str">
        <x:v>Domain alignment</x:v>
      </x:c>
      <x:c r="I3" s="17" t="str">
        <x:v>Unmet non-negotiables</x:v>
      </x:c>
      <x:c r="J3" s="17" t="str">
        <x:v>Qualification state</x:v>
      </x:c>
      <x:c r="K3" s="17" t="str">
        <x:v>Résumé version</x:v>
      </x:c>
      <x:c r="L3" s="17" t="str">
        <x:v>Résumé approval</x:v>
      </x:c>
      <x:c r="M3" s="17" t="str">
        <x:v>Application status</x:v>
      </x:c>
      <x:c r="N3" s="17" t="str">
        <x:v>Submission evidence</x:v>
      </x:c>
      <x:c r="O3" s="17" t="str">
        <x:v>Follow-up date</x:v>
      </x:c>
    </x:row>
    <x:row r="4">
      <x:c r="D4" s="20"/>
      <x:c r="E4" s="20"/>
      <x:c r="F4" s="20"/>
      <x:c r="G4" s="20"/>
      <x:c r="H4" s="20"/>
      <x:c r="O4" s="21"/>
    </x:row>
    <x:row r="5">
      <x:c r="D5" s="20"/>
      <x:c r="E5" s="20"/>
      <x:c r="F5" s="20"/>
      <x:c r="G5" s="20"/>
      <x:c r="H5" s="20"/>
      <x:c r="O5" s="21"/>
    </x:row>
    <x:row r="6">
      <x:c r="D6" s="20"/>
      <x:c r="E6" s="20"/>
      <x:c r="F6" s="20"/>
      <x:c r="G6" s="20"/>
      <x:c r="H6" s="20"/>
      <x:c r="O6" s="21"/>
    </x:row>
    <x:row r="7">
      <x:c r="D7" s="20"/>
      <x:c r="E7" s="20"/>
      <x:c r="F7" s="20"/>
      <x:c r="G7" s="20"/>
      <x:c r="H7" s="20"/>
      <x:c r="O7" s="21"/>
    </x:row>
    <x:row r="8">
      <x:c r="D8" s="20"/>
      <x:c r="E8" s="20"/>
      <x:c r="F8" s="20"/>
      <x:c r="G8" s="20"/>
      <x:c r="H8" s="20"/>
      <x:c r="O8" s="21"/>
    </x:row>
    <x:row r="9">
      <x:c r="D9" s="20"/>
      <x:c r="E9" s="20"/>
      <x:c r="F9" s="20"/>
      <x:c r="G9" s="20"/>
      <x:c r="H9" s="20"/>
      <x:c r="O9" s="21"/>
    </x:row>
    <x:row r="10">
      <x:c r="D10" s="20"/>
      <x:c r="E10" s="20"/>
      <x:c r="F10" s="20"/>
      <x:c r="G10" s="20"/>
      <x:c r="H10" s="20"/>
      <x:c r="O10" s="21"/>
    </x:row>
    <x:row r="11">
      <x:c r="D11" s="20"/>
      <x:c r="E11" s="20"/>
      <x:c r="F11" s="20"/>
      <x:c r="G11" s="20"/>
      <x:c r="H11" s="20"/>
      <x:c r="O11" s="21"/>
    </x:row>
    <x:row r="12">
      <x:c r="D12" s="20"/>
      <x:c r="E12" s="20"/>
      <x:c r="F12" s="20"/>
      <x:c r="G12" s="20"/>
      <x:c r="H12" s="20"/>
      <x:c r="O12" s="21"/>
    </x:row>
    <x:row r="13">
      <x:c r="D13" s="20"/>
      <x:c r="E13" s="20"/>
      <x:c r="F13" s="20"/>
      <x:c r="G13" s="20"/>
      <x:c r="H13" s="20"/>
      <x:c r="O13" s="21"/>
    </x:row>
    <x:row r="14">
      <x:c r="D14" s="20"/>
      <x:c r="E14" s="20"/>
      <x:c r="F14" s="20"/>
      <x:c r="G14" s="20"/>
      <x:c r="H14" s="20"/>
      <x:c r="O14" s="21"/>
    </x:row>
    <x:row r="15">
      <x:c r="D15" s="20"/>
      <x:c r="E15" s="20"/>
      <x:c r="F15" s="20"/>
      <x:c r="G15" s="20"/>
      <x:c r="H15" s="20"/>
      <x:c r="O15" s="21"/>
    </x:row>
    <x:row r="16">
      <x:c r="D16" s="20"/>
      <x:c r="E16" s="20"/>
      <x:c r="F16" s="20"/>
      <x:c r="G16" s="20"/>
      <x:c r="H16" s="20"/>
      <x:c r="O16" s="21"/>
    </x:row>
    <x:row r="17">
      <x:c r="D17" s="20"/>
      <x:c r="E17" s="20"/>
      <x:c r="F17" s="20"/>
      <x:c r="G17" s="20"/>
      <x:c r="H17" s="20"/>
      <x:c r="O17" s="21"/>
    </x:row>
    <x:row r="18">
      <x:c r="D18" s="20"/>
      <x:c r="E18" s="20"/>
      <x:c r="F18" s="20"/>
      <x:c r="G18" s="20"/>
      <x:c r="H18" s="20"/>
      <x:c r="O18" s="21"/>
    </x:row>
    <x:row r="19">
      <x:c r="D19" s="20"/>
      <x:c r="E19" s="20"/>
      <x:c r="F19" s="20"/>
      <x:c r="G19" s="20"/>
      <x:c r="H19" s="20"/>
      <x:c r="O19" s="21"/>
    </x:row>
    <x:row r="20">
      <x:c r="D20" s="20"/>
      <x:c r="E20" s="20"/>
      <x:c r="F20" s="20"/>
      <x:c r="G20" s="20"/>
      <x:c r="H20" s="20"/>
      <x:c r="O20" s="21"/>
    </x:row>
    <x:row r="21">
      <x:c r="D21" s="20"/>
      <x:c r="E21" s="20"/>
      <x:c r="F21" s="20"/>
      <x:c r="G21" s="20"/>
      <x:c r="H21" s="20"/>
      <x:c r="O21" s="21"/>
    </x:row>
    <x:row r="22">
      <x:c r="D22" s="20"/>
      <x:c r="E22" s="20"/>
      <x:c r="F22" s="20"/>
      <x:c r="G22" s="20"/>
      <x:c r="H22" s="20"/>
      <x:c r="O22" s="21"/>
    </x:row>
    <x:row r="23">
      <x:c r="D23" s="20"/>
      <x:c r="E23" s="20"/>
      <x:c r="F23" s="20"/>
      <x:c r="G23" s="20"/>
      <x:c r="H23" s="20"/>
      <x:c r="O23" s="21"/>
    </x:row>
    <x:row r="24">
      <x:c r="D24" s="20"/>
      <x:c r="E24" s="20"/>
      <x:c r="F24" s="20"/>
      <x:c r="G24" s="20"/>
      <x:c r="H24" s="20"/>
      <x:c r="O24" s="21"/>
    </x:row>
    <x:row r="25">
      <x:c r="D25" s="20"/>
      <x:c r="E25" s="20"/>
      <x:c r="F25" s="20"/>
      <x:c r="G25" s="20"/>
      <x:c r="H25" s="20"/>
      <x:c r="O25" s="21"/>
    </x:row>
    <x:row r="26">
      <x:c r="D26" s="20"/>
      <x:c r="E26" s="20"/>
      <x:c r="F26" s="20"/>
      <x:c r="G26" s="20"/>
      <x:c r="H26" s="20"/>
      <x:c r="O26" s="21"/>
    </x:row>
    <x:row r="27">
      <x:c r="D27" s="20"/>
      <x:c r="E27" s="20"/>
      <x:c r="F27" s="20"/>
      <x:c r="G27" s="20"/>
      <x:c r="H27" s="20"/>
      <x:c r="O27" s="21"/>
    </x:row>
    <x:row r="28">
      <x:c r="D28" s="20"/>
      <x:c r="E28" s="20"/>
      <x:c r="F28" s="20"/>
      <x:c r="G28" s="20"/>
      <x:c r="H28" s="20"/>
      <x:c r="O28" s="21"/>
    </x:row>
    <x:row r="29">
      <x:c r="D29" s="20"/>
      <x:c r="E29" s="20"/>
      <x:c r="F29" s="20"/>
      <x:c r="G29" s="20"/>
      <x:c r="H29" s="20"/>
      <x:c r="O29" s="21"/>
    </x:row>
    <x:row r="30">
      <x:c r="D30" s="20"/>
      <x:c r="E30" s="20"/>
      <x:c r="F30" s="20"/>
      <x:c r="G30" s="20"/>
      <x:c r="H30" s="20"/>
      <x:c r="O30" s="21"/>
    </x:row>
    <x:row r="31">
      <x:c r="D31" s="20"/>
      <x:c r="E31" s="20"/>
      <x:c r="F31" s="20"/>
      <x:c r="G31" s="20"/>
      <x:c r="H31" s="20"/>
      <x:c r="O31" s="21"/>
    </x:row>
    <x:row r="32">
      <x:c r="D32" s="20"/>
      <x:c r="E32" s="20"/>
      <x:c r="F32" s="20"/>
      <x:c r="G32" s="20"/>
      <x:c r="H32" s="20"/>
      <x:c r="O32" s="21"/>
    </x:row>
    <x:row r="33">
      <x:c r="D33" s="20"/>
      <x:c r="E33" s="20"/>
      <x:c r="F33" s="20"/>
      <x:c r="G33" s="20"/>
      <x:c r="H33" s="20"/>
      <x:c r="O33" s="21"/>
    </x:row>
    <x:row r="34">
      <x:c r="D34" s="20"/>
      <x:c r="E34" s="20"/>
      <x:c r="F34" s="20"/>
      <x:c r="G34" s="20"/>
      <x:c r="H34" s="20"/>
      <x:c r="O34" s="21"/>
    </x:row>
    <x:row r="35">
      <x:c r="D35" s="20"/>
      <x:c r="E35" s="20"/>
      <x:c r="F35" s="20"/>
      <x:c r="G35" s="20"/>
      <x:c r="H35" s="20"/>
      <x:c r="O35" s="21"/>
    </x:row>
    <x:row r="36">
      <x:c r="D36" s="20"/>
      <x:c r="E36" s="20"/>
      <x:c r="F36" s="20"/>
      <x:c r="G36" s="20"/>
      <x:c r="H36" s="20"/>
      <x:c r="O36" s="21"/>
    </x:row>
    <x:row r="37">
      <x:c r="D37" s="20"/>
      <x:c r="E37" s="20"/>
      <x:c r="F37" s="20"/>
      <x:c r="G37" s="20"/>
      <x:c r="H37" s="20"/>
      <x:c r="O37" s="21"/>
    </x:row>
    <x:row r="38">
      <x:c r="D38" s="20"/>
      <x:c r="E38" s="20"/>
      <x:c r="F38" s="20"/>
      <x:c r="G38" s="20"/>
      <x:c r="H38" s="20"/>
      <x:c r="O38" s="21"/>
    </x:row>
    <x:row r="39">
      <x:c r="D39" s="20"/>
      <x:c r="E39" s="20"/>
      <x:c r="F39" s="20"/>
      <x:c r="G39" s="20"/>
      <x:c r="H39" s="20"/>
      <x:c r="O39" s="21"/>
    </x:row>
    <x:row r="40">
      <x:c r="D40" s="20"/>
      <x:c r="E40" s="20"/>
      <x:c r="F40" s="20"/>
      <x:c r="G40" s="20"/>
      <x:c r="H40" s="20"/>
      <x:c r="O40" s="21"/>
    </x:row>
    <x:row r="41">
      <x:c r="D41" s="20"/>
      <x:c r="E41" s="20"/>
      <x:c r="F41" s="20"/>
      <x:c r="G41" s="20"/>
      <x:c r="H41" s="20"/>
      <x:c r="O41" s="21"/>
    </x:row>
    <x:row r="42">
      <x:c r="D42" s="20"/>
      <x:c r="E42" s="20"/>
      <x:c r="F42" s="20"/>
      <x:c r="G42" s="20"/>
      <x:c r="H42" s="20"/>
      <x:c r="O42" s="21"/>
    </x:row>
    <x:row r="43">
      <x:c r="D43" s="20"/>
      <x:c r="E43" s="20"/>
      <x:c r="F43" s="20"/>
      <x:c r="G43" s="20"/>
      <x:c r="H43" s="20"/>
      <x:c r="O43" s="21"/>
    </x:row>
    <x:row r="44">
      <x:c r="D44" s="20"/>
      <x:c r="E44" s="20"/>
      <x:c r="F44" s="20"/>
      <x:c r="G44" s="20"/>
      <x:c r="H44" s="20"/>
      <x:c r="O44" s="21"/>
    </x:row>
    <x:row r="45">
      <x:c r="D45" s="20"/>
      <x:c r="E45" s="20"/>
      <x:c r="F45" s="20"/>
      <x:c r="G45" s="20"/>
      <x:c r="H45" s="20"/>
      <x:c r="O45" s="21"/>
    </x:row>
    <x:row r="46">
      <x:c r="D46" s="20"/>
      <x:c r="E46" s="20"/>
      <x:c r="F46" s="20"/>
      <x:c r="G46" s="20"/>
      <x:c r="H46" s="20"/>
      <x:c r="O46" s="21"/>
    </x:row>
    <x:row r="47">
      <x:c r="D47" s="20"/>
      <x:c r="E47" s="20"/>
      <x:c r="F47" s="20"/>
      <x:c r="G47" s="20"/>
      <x:c r="H47" s="20"/>
      <x:c r="O47" s="21"/>
    </x:row>
    <x:row r="48">
      <x:c r="D48" s="20"/>
      <x:c r="E48" s="20"/>
      <x:c r="F48" s="20"/>
      <x:c r="G48" s="20"/>
      <x:c r="H48" s="20"/>
      <x:c r="O48" s="21"/>
    </x:row>
    <x:row r="49">
      <x:c r="D49" s="20"/>
      <x:c r="E49" s="20"/>
      <x:c r="F49" s="20"/>
      <x:c r="G49" s="20"/>
      <x:c r="H49" s="20"/>
      <x:c r="O49" s="21"/>
    </x:row>
    <x:row r="50">
      <x:c r="D50" s="20"/>
      <x:c r="E50" s="20"/>
      <x:c r="F50" s="20"/>
      <x:c r="G50" s="20"/>
      <x:c r="H50" s="20"/>
      <x:c r="O50" s="21"/>
    </x:row>
    <x:row r="51">
      <x:c r="D51" s="20"/>
      <x:c r="E51" s="20"/>
      <x:c r="F51" s="20"/>
      <x:c r="G51" s="20"/>
      <x:c r="H51" s="20"/>
      <x:c r="O51" s="21"/>
    </x:row>
    <x:row r="52">
      <x:c r="D52" s="20"/>
      <x:c r="E52" s="20"/>
      <x:c r="F52" s="20"/>
      <x:c r="G52" s="20"/>
      <x:c r="H52" s="20"/>
      <x:c r="O52" s="21"/>
    </x:row>
    <x:row r="53">
      <x:c r="D53" s="20"/>
      <x:c r="E53" s="20"/>
      <x:c r="F53" s="20"/>
      <x:c r="G53" s="20"/>
      <x:c r="H53" s="20"/>
      <x:c r="O53" s="21"/>
    </x:row>
  </x:sheetData>
  <x:mergeCells>
    <x:mergeCell ref="A1:O1"/>
  </x:mergeCells>
  <x:dataValidations count="3">
    <x:dataValidation type="list" sqref="J4:J53">
      <x:formula1>"QUALIFIED,NOT_QUALIFIED,REVIEW_REQUIRED"</x:formula1>
    </x:dataValidation>
    <x:dataValidation type="list" sqref="L4:L53">
      <x:formula1>"PENDING,APPROVED,REJECTED"</x:formula1>
    </x:dataValidation>
    <x:dataValidation type="list" sqref="M4:M53">
      <x:formula1>"NOT_STARTED,PREPARING,READY_FOR_REVIEW,APPROVED,SUBMITTED,FAILED,WITHDRAWN"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12989d215b44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4" hidden="0" customWidth="1"/>
    <x:col min="5" max="5" width="18" hidden="0" customWidth="1"/>
    <x:col min="6" max="6" width="25" hidden="0" customWidth="1"/>
    <x:col min="7" max="7" width="34" hidden="0" customWidth="1"/>
    <x:col min="8" max="8" width="28" hidden="0" customWidth="1"/>
    <x:col min="9" max="9" width="24" hidden="0" customWidth="1"/>
    <x:col min="10" max="10" width="12" hidden="0" customWidth="1"/>
    <x:col min="11" max="11" width="45" hidden="0" customWidth="1"/>
    <x:col min="12" max="12" width="20" hidden="0" customWidth="1"/>
    <x:col min="13" max="13" width="22" hidden="0" customWidth="1"/>
    <x:col min="14" max="14" width="18" hidden="0" customWidth="1"/>
    <x:col min="15" max="15" width="16" hidden="0" customWidth="1"/>
    <x:col min="16" max="16" width="16" hidden="0" customWidth="1"/>
    <x:col min="17" max="17" width="12" hidden="0" customWidth="1"/>
  </x:cols>
  <x:sheetData>
    <x:row r="1" ht="30" customHeight="1">
      <x:c r="A1" s="15" t="str">
        <x:v>Contacts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</x:row>
    <x:row r="3" ht="32" customHeight="1">
      <x:c r="A3" s="17" t="str">
        <x:v>Contact ID</x:v>
      </x:c>
      <x:c r="B3" s="17" t="str">
        <x:v>Job ID</x:v>
      </x:c>
      <x:c r="C3" s="17" t="str">
        <x:v>Person</x:v>
      </x:c>
      <x:c r="D3" s="17" t="str">
        <x:v>Title</x:v>
      </x:c>
      <x:c r="E3" s="17" t="str">
        <x:v>Company</x:v>
      </x:c>
      <x:c r="F3" s="17" t="str">
        <x:v>Relationship to role</x:v>
      </x:c>
      <x:c r="G3" s="17" t="str">
        <x:v>LinkedIn URL</x:v>
      </x:c>
      <x:c r="H3" s="17" t="str">
        <x:v>Email</x:v>
      </x:c>
      <x:c r="I3" s="17" t="str">
        <x:v>Email status</x:v>
      </x:c>
      <x:c r="J3" s="17" t="str">
        <x:v>Confidence</x:v>
      </x:c>
      <x:c r="K3" s="17" t="str">
        <x:v>Supporting sources</x:v>
      </x:c>
      <x:c r="L3" s="17" t="str">
        <x:v>Retrieved at</x:v>
      </x:c>
      <x:c r="M3" s="17" t="str">
        <x:v>Verification result</x:v>
      </x:c>
      <x:c r="N3" s="17" t="str">
        <x:v>Outreach approval</x:v>
      </x:c>
      <x:c r="O3" s="17" t="str">
        <x:v>Last contact</x:v>
      </x:c>
      <x:c r="P3" s="17" t="str">
        <x:v>Follow-up</x:v>
      </x:c>
      <x:c r="Q3" s="17" t="str">
        <x:v>Opt-out</x:v>
      </x:c>
    </x:row>
    <x:row r="4">
      <x:c r="J4" s="22"/>
      <x:c r="L4" s="18"/>
      <x:c r="O4" s="21"/>
      <x:c r="P4" s="21"/>
    </x:row>
    <x:row r="5">
      <x:c r="J5" s="22"/>
      <x:c r="L5" s="18"/>
      <x:c r="O5" s="21"/>
      <x:c r="P5" s="21"/>
    </x:row>
    <x:row r="6">
      <x:c r="J6" s="22"/>
      <x:c r="L6" s="18"/>
      <x:c r="O6" s="21"/>
      <x:c r="P6" s="21"/>
    </x:row>
    <x:row r="7">
      <x:c r="J7" s="22"/>
      <x:c r="L7" s="18"/>
      <x:c r="O7" s="21"/>
      <x:c r="P7" s="21"/>
    </x:row>
    <x:row r="8">
      <x:c r="J8" s="22"/>
      <x:c r="L8" s="18"/>
      <x:c r="O8" s="21"/>
      <x:c r="P8" s="21"/>
    </x:row>
    <x:row r="9">
      <x:c r="J9" s="22"/>
      <x:c r="L9" s="18"/>
      <x:c r="O9" s="21"/>
      <x:c r="P9" s="21"/>
    </x:row>
    <x:row r="10">
      <x:c r="J10" s="22"/>
      <x:c r="L10" s="18"/>
      <x:c r="O10" s="21"/>
      <x:c r="P10" s="21"/>
    </x:row>
    <x:row r="11">
      <x:c r="J11" s="22"/>
      <x:c r="L11" s="18"/>
      <x:c r="O11" s="21"/>
      <x:c r="P11" s="21"/>
    </x:row>
    <x:row r="12">
      <x:c r="J12" s="22"/>
      <x:c r="L12" s="18"/>
      <x:c r="O12" s="21"/>
      <x:c r="P12" s="21"/>
    </x:row>
    <x:row r="13">
      <x:c r="J13" s="22"/>
      <x:c r="L13" s="18"/>
      <x:c r="O13" s="21"/>
      <x:c r="P13" s="21"/>
    </x:row>
    <x:row r="14">
      <x:c r="J14" s="22"/>
      <x:c r="L14" s="18"/>
      <x:c r="O14" s="21"/>
      <x:c r="P14" s="21"/>
    </x:row>
    <x:row r="15">
      <x:c r="J15" s="22"/>
      <x:c r="L15" s="18"/>
      <x:c r="O15" s="21"/>
      <x:c r="P15" s="21"/>
    </x:row>
    <x:row r="16">
      <x:c r="J16" s="22"/>
      <x:c r="L16" s="18"/>
      <x:c r="O16" s="21"/>
      <x:c r="P16" s="21"/>
    </x:row>
    <x:row r="17">
      <x:c r="J17" s="22"/>
      <x:c r="L17" s="18"/>
      <x:c r="O17" s="21"/>
      <x:c r="P17" s="21"/>
    </x:row>
    <x:row r="18">
      <x:c r="J18" s="22"/>
      <x:c r="L18" s="18"/>
      <x:c r="O18" s="21"/>
      <x:c r="P18" s="21"/>
    </x:row>
    <x:row r="19">
      <x:c r="J19" s="22"/>
      <x:c r="L19" s="18"/>
      <x:c r="O19" s="21"/>
      <x:c r="P19" s="21"/>
    </x:row>
    <x:row r="20">
      <x:c r="J20" s="22"/>
      <x:c r="L20" s="18"/>
      <x:c r="O20" s="21"/>
      <x:c r="P20" s="21"/>
    </x:row>
    <x:row r="21">
      <x:c r="J21" s="22"/>
      <x:c r="L21" s="18"/>
      <x:c r="O21" s="21"/>
      <x:c r="P21" s="21"/>
    </x:row>
    <x:row r="22">
      <x:c r="J22" s="22"/>
      <x:c r="L22" s="18"/>
      <x:c r="O22" s="21"/>
      <x:c r="P22" s="21"/>
    </x:row>
    <x:row r="23">
      <x:c r="J23" s="22"/>
      <x:c r="L23" s="18"/>
      <x:c r="O23" s="21"/>
      <x:c r="P23" s="21"/>
    </x:row>
    <x:row r="24">
      <x:c r="J24" s="22"/>
      <x:c r="L24" s="18"/>
      <x:c r="O24" s="21"/>
      <x:c r="P24" s="21"/>
    </x:row>
    <x:row r="25">
      <x:c r="J25" s="22"/>
      <x:c r="L25" s="18"/>
      <x:c r="O25" s="21"/>
      <x:c r="P25" s="21"/>
    </x:row>
    <x:row r="26">
      <x:c r="J26" s="22"/>
      <x:c r="L26" s="18"/>
      <x:c r="O26" s="21"/>
      <x:c r="P26" s="21"/>
    </x:row>
    <x:row r="27">
      <x:c r="J27" s="22"/>
      <x:c r="L27" s="18"/>
      <x:c r="O27" s="21"/>
      <x:c r="P27" s="21"/>
    </x:row>
    <x:row r="28">
      <x:c r="J28" s="22"/>
      <x:c r="L28" s="18"/>
      <x:c r="O28" s="21"/>
      <x:c r="P28" s="21"/>
    </x:row>
    <x:row r="29">
      <x:c r="J29" s="22"/>
      <x:c r="L29" s="18"/>
      <x:c r="O29" s="21"/>
      <x:c r="P29" s="21"/>
    </x:row>
    <x:row r="30">
      <x:c r="J30" s="22"/>
      <x:c r="L30" s="18"/>
      <x:c r="O30" s="21"/>
      <x:c r="P30" s="21"/>
    </x:row>
    <x:row r="31">
      <x:c r="J31" s="22"/>
      <x:c r="L31" s="18"/>
      <x:c r="O31" s="21"/>
      <x:c r="P31" s="21"/>
    </x:row>
    <x:row r="32">
      <x:c r="J32" s="22"/>
      <x:c r="L32" s="18"/>
      <x:c r="O32" s="21"/>
      <x:c r="P32" s="21"/>
    </x:row>
    <x:row r="33">
      <x:c r="J33" s="22"/>
      <x:c r="L33" s="18"/>
      <x:c r="O33" s="21"/>
      <x:c r="P33" s="21"/>
    </x:row>
    <x:row r="34">
      <x:c r="J34" s="22"/>
      <x:c r="L34" s="18"/>
      <x:c r="O34" s="21"/>
      <x:c r="P34" s="21"/>
    </x:row>
    <x:row r="35">
      <x:c r="J35" s="22"/>
      <x:c r="L35" s="18"/>
      <x:c r="O35" s="21"/>
      <x:c r="P35" s="21"/>
    </x:row>
    <x:row r="36">
      <x:c r="J36" s="22"/>
      <x:c r="L36" s="18"/>
      <x:c r="O36" s="21"/>
      <x:c r="P36" s="21"/>
    </x:row>
    <x:row r="37">
      <x:c r="J37" s="22"/>
      <x:c r="L37" s="18"/>
      <x:c r="O37" s="21"/>
      <x:c r="P37" s="21"/>
    </x:row>
    <x:row r="38">
      <x:c r="J38" s="22"/>
      <x:c r="L38" s="18"/>
      <x:c r="O38" s="21"/>
      <x:c r="P38" s="21"/>
    </x:row>
    <x:row r="39">
      <x:c r="J39" s="22"/>
      <x:c r="L39" s="18"/>
      <x:c r="O39" s="21"/>
      <x:c r="P39" s="21"/>
    </x:row>
    <x:row r="40">
      <x:c r="J40" s="22"/>
      <x:c r="L40" s="18"/>
      <x:c r="O40" s="21"/>
      <x:c r="P40" s="21"/>
    </x:row>
    <x:row r="41">
      <x:c r="J41" s="22"/>
      <x:c r="L41" s="18"/>
      <x:c r="O41" s="21"/>
      <x:c r="P41" s="21"/>
    </x:row>
    <x:row r="42">
      <x:c r="J42" s="22"/>
      <x:c r="L42" s="18"/>
      <x:c r="O42" s="21"/>
      <x:c r="P42" s="21"/>
    </x:row>
    <x:row r="43">
      <x:c r="J43" s="22"/>
      <x:c r="L43" s="18"/>
      <x:c r="O43" s="21"/>
      <x:c r="P43" s="21"/>
    </x:row>
    <x:row r="44">
      <x:c r="J44" s="22"/>
      <x:c r="L44" s="18"/>
      <x:c r="O44" s="21"/>
      <x:c r="P44" s="21"/>
    </x:row>
    <x:row r="45">
      <x:c r="J45" s="22"/>
      <x:c r="L45" s="18"/>
      <x:c r="O45" s="21"/>
      <x:c r="P45" s="21"/>
    </x:row>
    <x:row r="46">
      <x:c r="J46" s="22"/>
      <x:c r="L46" s="18"/>
      <x:c r="O46" s="21"/>
      <x:c r="P46" s="21"/>
    </x:row>
    <x:row r="47">
      <x:c r="J47" s="22"/>
      <x:c r="L47" s="18"/>
      <x:c r="O47" s="21"/>
      <x:c r="P47" s="21"/>
    </x:row>
    <x:row r="48">
      <x:c r="J48" s="22"/>
      <x:c r="L48" s="18"/>
      <x:c r="O48" s="21"/>
      <x:c r="P48" s="21"/>
    </x:row>
    <x:row r="49">
      <x:c r="J49" s="22"/>
      <x:c r="L49" s="18"/>
      <x:c r="O49" s="21"/>
      <x:c r="P49" s="21"/>
    </x:row>
    <x:row r="50">
      <x:c r="J50" s="22"/>
      <x:c r="L50" s="18"/>
      <x:c r="O50" s="21"/>
      <x:c r="P50" s="21"/>
    </x:row>
    <x:row r="51">
      <x:c r="J51" s="22"/>
      <x:c r="L51" s="18"/>
      <x:c r="O51" s="21"/>
      <x:c r="P51" s="21"/>
    </x:row>
    <x:row r="52">
      <x:c r="J52" s="22"/>
      <x:c r="L52" s="18"/>
      <x:c r="O52" s="21"/>
      <x:c r="P52" s="21"/>
    </x:row>
    <x:row r="53">
      <x:c r="J53" s="22"/>
      <x:c r="L53" s="18"/>
      <x:c r="O53" s="21"/>
      <x:c r="P53" s="21"/>
    </x:row>
  </x:sheetData>
  <x:mergeCells>
    <x:mergeCell ref="A1:Q1"/>
  </x:mergeCells>
  <x:dataValidations count="3">
    <x:dataValidation type="list" sqref="I4:I53">
      <x:formula1>"VERIFIED_PUBLISHED,VERIFIED_BY_SERVICE,INFERRED_PATTERN,UNVERIFIED,NOT_FOUND"</x:formula1>
    </x:dataValidation>
    <x:dataValidation type="list" sqref="N4:N53">
      <x:formula1>"PENDING,APPROVED,REJECTED"</x:formula1>
    </x:dataValidation>
    <x:dataValidation type="list" sqref="Q4:Q53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ac54437cc542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42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42" hidden="0" customWidth="1"/>
  </x:cols>
  <x:sheetData>
    <x:row r="1" ht="30" customHeight="1">
      <x:c r="A1" s="15" t="str">
        <x:v>Approvals</x:v>
      </x:c>
      <x:c r="B1" s="15"/>
      <x:c r="C1" s="15"/>
      <x:c r="D1" s="15"/>
      <x:c r="E1" s="15"/>
      <x:c r="F1" s="15"/>
      <x:c r="G1" s="15"/>
      <x:c r="H1" s="15"/>
      <x:c r="I1" s="15"/>
    </x:row>
    <x:row r="3" ht="32" customHeight="1">
      <x:c r="A3" s="17" t="str">
        <x:v>Approval ID</x:v>
      </x:c>
      <x:c r="B3" s="17" t="str">
        <x:v>Approval type</x:v>
      </x:c>
      <x:c r="C3" s="17" t="str">
        <x:v>Related record ID</x:v>
      </x:c>
      <x:c r="D3" s="17" t="str">
        <x:v>Reason</x:v>
      </x:c>
      <x:c r="E3" s="17" t="str">
        <x:v>Created at</x:v>
      </x:c>
      <x:c r="F3" s="17" t="str">
        <x:v>Status</x:v>
      </x:c>
      <x:c r="G3" s="17" t="str">
        <x:v>Decision</x:v>
      </x:c>
      <x:c r="H3" s="17" t="str">
        <x:v>Decided at</x:v>
      </x:c>
      <x:c r="I3" s="17" t="str">
        <x:v>Decision notes</x:v>
      </x:c>
    </x:row>
    <x:row r="4">
      <x:c r="E4" s="18"/>
      <x:c r="H4" s="18"/>
    </x:row>
    <x:row r="5">
      <x:c r="E5" s="18"/>
      <x:c r="H5" s="18"/>
    </x:row>
    <x:row r="6">
      <x:c r="E6" s="18"/>
      <x:c r="H6" s="18"/>
    </x:row>
    <x:row r="7">
      <x:c r="E7" s="18"/>
      <x:c r="H7" s="18"/>
    </x:row>
    <x:row r="8">
      <x:c r="E8" s="18"/>
      <x:c r="H8" s="18"/>
    </x:row>
    <x:row r="9">
      <x:c r="E9" s="18"/>
      <x:c r="H9" s="18"/>
    </x:row>
    <x:row r="10">
      <x:c r="E10" s="18"/>
      <x:c r="H10" s="18"/>
    </x:row>
    <x:row r="11">
      <x:c r="E11" s="18"/>
      <x:c r="H11" s="18"/>
    </x:row>
    <x:row r="12">
      <x:c r="E12" s="18"/>
      <x:c r="H12" s="18"/>
    </x:row>
    <x:row r="13">
      <x:c r="E13" s="18"/>
      <x:c r="H13" s="18"/>
    </x:row>
    <x:row r="14">
      <x:c r="E14" s="18"/>
      <x:c r="H14" s="18"/>
    </x:row>
    <x:row r="15">
      <x:c r="E15" s="18"/>
      <x:c r="H15" s="18"/>
    </x:row>
    <x:row r="16">
      <x:c r="E16" s="18"/>
      <x:c r="H16" s="18"/>
    </x:row>
    <x:row r="17">
      <x:c r="E17" s="18"/>
      <x:c r="H17" s="18"/>
    </x:row>
    <x:row r="18">
      <x:c r="E18" s="18"/>
      <x:c r="H18" s="18"/>
    </x:row>
    <x:row r="19">
      <x:c r="E19" s="18"/>
      <x:c r="H19" s="18"/>
    </x:row>
    <x:row r="20">
      <x:c r="E20" s="18"/>
      <x:c r="H20" s="18"/>
    </x:row>
    <x:row r="21">
      <x:c r="E21" s="18"/>
      <x:c r="H21" s="18"/>
    </x:row>
    <x:row r="22">
      <x:c r="E22" s="18"/>
      <x:c r="H22" s="18"/>
    </x:row>
    <x:row r="23">
      <x:c r="E23" s="18"/>
      <x:c r="H23" s="18"/>
    </x:row>
    <x:row r="24">
      <x:c r="E24" s="18"/>
      <x:c r="H24" s="18"/>
    </x:row>
    <x:row r="25">
      <x:c r="E25" s="18"/>
      <x:c r="H25" s="18"/>
    </x:row>
    <x:row r="26">
      <x:c r="E26" s="18"/>
      <x:c r="H26" s="18"/>
    </x:row>
    <x:row r="27">
      <x:c r="E27" s="18"/>
      <x:c r="H27" s="18"/>
    </x:row>
    <x:row r="28">
      <x:c r="E28" s="18"/>
      <x:c r="H28" s="18"/>
    </x:row>
    <x:row r="29">
      <x:c r="E29" s="18"/>
      <x:c r="H29" s="18"/>
    </x:row>
    <x:row r="30">
      <x:c r="E30" s="18"/>
      <x:c r="H30" s="18"/>
    </x:row>
    <x:row r="31">
      <x:c r="E31" s="18"/>
      <x:c r="H31" s="18"/>
    </x:row>
    <x:row r="32">
      <x:c r="E32" s="18"/>
      <x:c r="H32" s="18"/>
    </x:row>
    <x:row r="33">
      <x:c r="E33" s="18"/>
      <x:c r="H33" s="18"/>
    </x:row>
    <x:row r="34">
      <x:c r="E34" s="18"/>
      <x:c r="H34" s="18"/>
    </x:row>
    <x:row r="35">
      <x:c r="E35" s="18"/>
      <x:c r="H35" s="18"/>
    </x:row>
    <x:row r="36">
      <x:c r="E36" s="18"/>
      <x:c r="H36" s="18"/>
    </x:row>
    <x:row r="37">
      <x:c r="E37" s="18"/>
      <x:c r="H37" s="18"/>
    </x:row>
    <x:row r="38">
      <x:c r="E38" s="18"/>
      <x:c r="H38" s="18"/>
    </x:row>
    <x:row r="39">
      <x:c r="E39" s="18"/>
      <x:c r="H39" s="18"/>
    </x:row>
    <x:row r="40">
      <x:c r="E40" s="18"/>
      <x:c r="H40" s="18"/>
    </x:row>
    <x:row r="41">
      <x:c r="E41" s="18"/>
      <x:c r="H41" s="18"/>
    </x:row>
    <x:row r="42">
      <x:c r="E42" s="18"/>
      <x:c r="H42" s="18"/>
    </x:row>
    <x:row r="43">
      <x:c r="E43" s="18"/>
      <x:c r="H43" s="18"/>
    </x:row>
    <x:row r="44">
      <x:c r="E44" s="18"/>
      <x:c r="H44" s="18"/>
    </x:row>
    <x:row r="45">
      <x:c r="E45" s="18"/>
      <x:c r="H45" s="18"/>
    </x:row>
    <x:row r="46">
      <x:c r="E46" s="18"/>
      <x:c r="H46" s="18"/>
    </x:row>
    <x:row r="47">
      <x:c r="E47" s="18"/>
      <x:c r="H47" s="18"/>
    </x:row>
    <x:row r="48">
      <x:c r="E48" s="18"/>
      <x:c r="H48" s="18"/>
    </x:row>
    <x:row r="49">
      <x:c r="E49" s="18"/>
      <x:c r="H49" s="18"/>
    </x:row>
    <x:row r="50">
      <x:c r="E50" s="18"/>
      <x:c r="H50" s="18"/>
    </x:row>
    <x:row r="51">
      <x:c r="E51" s="18"/>
      <x:c r="H51" s="18"/>
    </x:row>
    <x:row r="52">
      <x:c r="E52" s="18"/>
      <x:c r="H52" s="18"/>
    </x:row>
    <x:row r="53">
      <x:c r="E53" s="18"/>
      <x:c r="H53" s="18"/>
    </x:row>
  </x:sheetData>
  <x:mergeCells>
    <x:mergeCell ref="A1:I1"/>
  </x:mergeCells>
  <x:dataValidations count="2">
    <x:dataValidation type="list" sqref="B4:B53">
      <x:formula1>"REQUIREMENT_REVIEW,EVIDENCE_CONFIRMATION,RESUME_APPROVAL,CONTACT_VERIFICATION,OUTREACH_APPROVAL,APPLICATION_ANSWER,SUBMISSION_APPROVAL"</x:formula1>
    </x:dataValidation>
    <x:dataValidation type="list" sqref="F4:F53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d6c21af77840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</x:cols>
  <x:sheetData>
    <x:row r="1" ht="30" customHeight="1">
      <x:c r="A1" s="14" t="str">
        <x:v>Application Buddy Configuration</x:v>
      </x:c>
      <x:c r="B1" s="14"/>
      <x:c r="C1" s="14"/>
      <x:c r="D1" s="14"/>
    </x:row>
    <x:row r="3">
      <x:c r="A3" s="4" t="str">
        <x:v>Setting</x:v>
      </x:c>
      <x:c r="B3" s="4" t="str">
        <x:v>Value</x:v>
      </x:c>
    </x:row>
    <x:row r="4">
      <x:c r="A4" s="24" t="str">
        <x:v>Primary tracking destination</x:v>
      </x:c>
      <x:c r="B4" t="str">
        <x:v>Google Sheets</x:v>
      </x:c>
    </x:row>
    <x:row r="5">
      <x:c r="A5" s="24" t="str">
        <x:v>Qualification threshold</x:v>
      </x:c>
      <x:c r="B5" s="22" t="n">
        <x:v>0.75</x:v>
      </x:c>
    </x:row>
    <x:row r="6">
      <x:c r="A6" s="24" t="str">
        <x:v>Recency window hours</x:v>
      </x:c>
      <x:c r="B6" t="n">
        <x:v>72</x:v>
      </x:c>
    </x:row>
    <x:row r="7">
      <x:c r="A7" s="24" t="str">
        <x:v>Operating mode</x:v>
      </x:c>
      <x:c r="B7" t="str">
        <x:v>JOB_SEARCH</x:v>
      </x:c>
    </x:row>
    <x:row r="8">
      <x:c r="A8" s="24" t="str">
        <x:v>Automatic outreach for inferred email</x:v>
      </x:c>
      <x:c r="B8" s="23" t="b">
        <x:v>0</x:v>
      </x:c>
    </x:row>
    <x:row r="9">
      <x:c r="A9" s="24" t="str">
        <x:v>Automatic application submission</x:v>
      </x:c>
      <x:c r="B9" s="23" t="b">
        <x:v>0</x:v>
      </x:c>
    </x:row>
    <x:row r="10">
      <x:c r="A10" s="24" t="str">
        <x:v>Candidate approval required</x:v>
      </x:c>
      <x:c r="B10" s="23" t="b">
        <x:v>1</x:v>
      </x:c>
    </x:row>
  </x:sheetData>
  <x:mergeCells>
    <x:mergeCell ref="A1:D1"/>
  </x:mergeCells>
  <x:pageMargins left="0.7" right="0.7" top="0.75" bottom="0.75" header="0.3" footer="0.3"/>
</x:worksheet>
</file>